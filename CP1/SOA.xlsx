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D:\FACULTATE\IISC_MASTER\An_2\MEDE\Proiect\CP1\"/>
    </mc:Choice>
  </mc:AlternateContent>
  <xr:revisionPtr revIDLastSave="0" documentId="13_ncr:1_{D75026EE-6F3A-4AAC-8CF1-FE7CA4BC6C18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" i="1" l="1"/>
  <c r="A6" i="1"/>
  <c r="A7" i="1" s="1"/>
  <c r="A8" i="1" s="1"/>
  <c r="A9" i="1" s="1"/>
  <c r="A10" i="1" s="1"/>
  <c r="A11" i="1" s="1"/>
  <c r="A4" i="1"/>
  <c r="A3" i="1"/>
</calcChain>
</file>

<file path=xl/sharedStrings.xml><?xml version="1.0" encoding="utf-8"?>
<sst xmlns="http://schemas.openxmlformats.org/spreadsheetml/2006/main" count="55" uniqueCount="52">
  <si>
    <t>Titlu</t>
  </si>
  <si>
    <t>Surse</t>
  </si>
  <si>
    <t>Metoda exploratorie</t>
  </si>
  <si>
    <t>Metrica</t>
  </si>
  <si>
    <t>Rezultat</t>
  </si>
  <si>
    <t>Land Use/Land Cover changes dynamics and their effects on Surface Urban Heat Island in Bucharest, Romania</t>
  </si>
  <si>
    <t>Landsat 5 TM, 7 ETM+, 8 OLI</t>
  </si>
  <si>
    <t>Clasificare supervizată (Maximum Likelihood), detecție post-clasificare a schimbărilor LULC, calcul LST/NDVI și corelație Pearson pixel-cu-pixel</t>
  </si>
  <si>
    <t>Acuratețe globală ,coeficient Kappa LST normalizat (NLST), intensitate UHI coeficient Pearson (r)</t>
  </si>
  <si>
    <t>Construcțiile au crescut cu +9.9% și terenul arabil a scăzut cu -16.1%; conversia spre clădiri a crescut NLST cu până la 0.5; intensitatea UHI urban-rural a scăzut de la 0.08 la 0.01 prin extinderea căldurii în periurban; corelație LST-NDVI puternic negativă pe păduri (r≈-0.74)</t>
  </si>
  <si>
    <t>MODIS Terra/Aqua LST (1 km), stații meteorologice terestre ANM</t>
  </si>
  <si>
    <t>Analiză spațială multianuală zi/noapte și profiluri termice radial-concentrice (nucleu urban vs. periferie)</t>
  </si>
  <si>
    <t>Magnitudinea UHI (ΔT_"urban-rural"  în °C), frecvența anomaliilor termice</t>
  </si>
  <si>
    <t>Nucleul central al Bucureștiului depășește periferia rurală cu până la 5–6°C în nopțile de vară; diferența diurnă este puternic influențată de solul neirigat din jur.</t>
  </si>
  <si>
    <t>Landsat 8 LST, Sentinel-2 MSI, copertură arbori Copernicus la nivel european</t>
  </si>
  <si>
    <t>Analiză statistică pe perechi de celule omogene (matched-pair spatial comparison)</t>
  </si>
  <si>
    <t>Diferență termică netă (ΔT_"arbori - sol"  în °C), intervale de încredere 95%</t>
  </si>
  <si>
    <t>Arborii urbani maturi scad temperatura suprafeței solului cu până la 8–12°C în regiunile calde ale Europei; copacii oferă o răcire de 2–4 ori mai mare decât gazonul sau suprafețele ierboase.</t>
  </si>
  <si>
    <t>The Bucharest Urban Heat Island, Theoretical and Applied Climatology</t>
  </si>
  <si>
    <t>The role of urban trees in reducing land surface temperatures, Nature Communications</t>
  </si>
  <si>
    <t>Sateliți Terra și Aqua MODIS, GLASS, Suomi NPP și NOAA-20 VIIRS Black Marble, vectori clădiri CAS, rețeaua stradală OpenStreetMa</t>
  </si>
  <si>
    <t>Agregare pe caroiaj de 1000 m, calculul raportului de aspect vertical al canioanelor urbane, regresie Random Forest</t>
  </si>
  <si>
    <t>Intensitatea SUHI în grade Celsius, scorul de importanță prin permutare, coeficientul de determinare R2, eroarea medie pătratică MSE</t>
  </si>
  <si>
    <t>Random Forest a obținut R2 între 0.50 și 0.95; NDVI este determinantul dominant în sezoanele calde și regiunile sudice; albedoul domină în nord în sezoanele reci; morfologia urbană devine critică în orașele din climate aride</t>
  </si>
  <si>
    <t xml:space="preserve">Prioritizing environmental determinants of urban heat islands: A machine
learning study for major cities in China </t>
  </si>
  <si>
    <t>43 de articole științifice din baze de date internaționale (Scopus, Web of Science, ScienceDirect, Wiley, Taylor &amp; Francis; 2013–2023)</t>
  </si>
  <si>
    <t>Review sistematic de literatură conform protocolului PRISMA 2020 cu sinteză calitativă și cantitativă (design mixt segregat)</t>
  </si>
  <si>
    <t>Reducerea temperaturii suprafeței și a aerului în grade Celsius/Kelvin, albedo, emisivitate, rezistență la derapare, nivelul de maturitate tehnologică TRL, emisii CO2 și costuri</t>
  </si>
  <si>
    <t>Învelișurile reflectorizante reduc temperatura la sol cu până la 10–20°C și a aerului cu până la 3°C; nivelul TRL atinge 8–9 pentru acoperiri și tratamente; uzura scade albedoul inițial și rezistența la alunecare</t>
  </si>
  <si>
    <t>Effectiveness of heat-reflective asphalt pavements in mitigating urban heat islands: A systematic literature review</t>
  </si>
  <si>
    <t>Landsat 8 (benzile 4, 5, 10; noiembrie 2013 și decembrie 2021) și date de temperatură a aerului World Weather Online</t>
  </si>
  <si>
    <t>Procesare GIS în QGIS și ArcGIS, calcul de radianță spectrală, temperatură de strălucire și NDVI, regresie statistică și ANOVA cu două căi cu măsuri repetate</t>
  </si>
  <si>
    <t>Temperatura la suprafața solului LST, indicele UHI, indicele de varianță a câmpului termic urban UTFVI</t>
  </si>
  <si>
    <t>LST mediu a crescut de la 18.58°C la 22.24°C; indicele UHI a crescut de la 0.197 la 0.402; insulele reci au scăzut de la 6 la 0; creșterea termică este semnificativă statistic</t>
  </si>
  <si>
    <t>Analysis of urban heat islands with landsat satellite images and
GIS in Kuala Lumpur Metropolitan City</t>
  </si>
  <si>
    <t>Urban heat islands and their effects on thermal comfort in the US: New York and New Jersey</t>
  </si>
  <si>
    <t>Date climatice WorldClim (temperatură de suprafață, umiditate, vânt; 2001–2020), date de utilizare a terenului MODIS MCD12Q1 și model digital de elevație USGS DEM</t>
  </si>
  <si>
    <t>Interpolare spațială a datelor termice în ArcGIS 10.3, analiză spațio-temporală a temperaturii de suprafață și calculul indicelui de disconfort Thom modificat</t>
  </si>
  <si>
    <t>Indicele de disconfort termic DI calculat pe baza temperaturii la sol Ta și a umidității relative RH</t>
  </si>
  <si>
    <t>Temperaturile de suprafață au crescut per total în perioada 2001–2020; arealul urban s-a extins cu 1.06%; efectul de insulă de căldură s-a intensificat în zona New York; peste 50% din areal a înregistrat disconfort termic în 2020</t>
  </si>
  <si>
    <t>Urban heat islands: a review of contributing factors, effects
and data</t>
  </si>
  <si>
    <t>Sinteză de literatură: date satelitare termice MODIS, măsurători terestre la catarge fixe, stații meteo și anchete transversale</t>
  </si>
  <si>
    <t>Review sistematic al literaturii, analiză comparativă a tipurilor de UHI (atmosferic vs. de suprafață) și calculul diferențelor termice urban-rural</t>
  </si>
  <si>
    <t xml:space="preserve">Intensitatea UHI atmosferic și a UHI de suprafață SUHI în grade Celsius/Kelvin, consum energetic pentru răcire (%)   </t>
  </si>
  <si>
    <t>SUHI atinge 10–15°C ziua și 5–10°C noaptea, în timp ce AUHI atinge 7–12°C noaptea; clădirile reduc viteza vântului cu până la 60%; fiecare creștere cu 0.6°C a temperaturii aerului sporește consumul de energie pentru răcire cu 1.5–2.0%</t>
  </si>
  <si>
    <t>96 de articole științifice evaluate integral (Landsat, MODIS, Sentinel, ECOSTRESS, GOES-R, ASTER; 1998–2024)</t>
  </si>
  <si>
    <t>Review narativ sistematic conform PRISMA, analiză comparativă a algoritmilor de extracție LST (MWA, SWA, USW), tehnici de fuziune multi-sursă și modele Machine Learning</t>
  </si>
  <si>
    <t>Intensitatea SUHI și CUHI în grade Celsius/Kelvin, RMSE, MAE, coeficientul de determinare R2, reducerea consumului și a costurilor energetice</t>
  </si>
  <si>
    <t>Intensitatea UHI crește cu aproximativ 0.7°C la dublarea ariei urbane; suprafețele impermeabile explică peste 60% din variația LST; vegetația reduce temperatura cu 1–3°C (local 5–7°C); materialele cu albedo ridicat scad LST cu până la 4.5°C; algoritmii AI reduc costurile de implementare cu 22.2–42.2%</t>
  </si>
  <si>
    <t>Urban Heat Island Effect: Remote Sensing Monitoring and Assessment—Methods, Applications, and Future Directions</t>
  </si>
  <si>
    <t>Green infrastructure and its influence on urban heat island, heat risk, and
air pollution: A case study of Porto (Portugal)</t>
  </si>
  <si>
    <t>Intensitatea UHI atmosferic și a UHI de suprafață SUHI în grade Celsius/Kelvin, consum energetic pentru răcire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</si>
</sst>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5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1">
    <xf numFmtId="0" fontId="0" fillId="0" borderId="0" xfId="0"/>
    <xf numFmtId="0" fontId="1" fillId="2" borderId="3" xfId="1" applyBorder="1" applyAlignment="1">
      <alignment horizontal="center" vertical="center" wrapText="1" readingOrder="1"/>
    </xf>
    <xf numFmtId="0" fontId="1" fillId="2" borderId="4" xfId="1" applyBorder="1" applyAlignment="1">
      <alignment horizontal="center" vertical="center" wrapText="1" readingOrder="1"/>
    </xf>
    <xf numFmtId="0" fontId="1" fillId="2" borderId="1" xfId="1" applyBorder="1" applyAlignment="1">
      <alignment horizontal="center" vertical="center" wrapText="1" readingOrder="1"/>
    </xf>
    <xf numFmtId="0" fontId="1" fillId="2" borderId="6" xfId="1" applyBorder="1" applyAlignment="1">
      <alignment horizontal="center" vertical="center" wrapText="1" readingOrder="1"/>
    </xf>
    <xf numFmtId="0" fontId="1" fillId="2" borderId="2" xfId="1" applyBorder="1" applyAlignment="1">
      <alignment horizontal="center" vertical="center"/>
    </xf>
    <xf numFmtId="0" fontId="1" fillId="2" borderId="5" xfId="1" applyBorder="1" applyAlignment="1">
      <alignment horizontal="center" vertical="center"/>
    </xf>
    <xf numFmtId="0" fontId="1" fillId="2" borderId="1" xfId="1" applyBorder="1" applyAlignment="1">
      <alignment horizontal="center" vertical="center" wrapText="1"/>
    </xf>
    <xf numFmtId="0" fontId="1" fillId="2" borderId="6" xfId="1" applyBorder="1" applyAlignment="1">
      <alignment horizontal="center" vertical="center" wrapText="1"/>
    </xf>
    <xf numFmtId="0" fontId="1" fillId="2" borderId="7" xfId="1" applyBorder="1" applyAlignment="1">
      <alignment horizontal="center" vertical="center" wrapText="1"/>
    </xf>
    <xf numFmtId="0" fontId="1" fillId="2" borderId="8" xfId="1" applyBorder="1" applyAlignment="1">
      <alignment horizontal="center" vertical="center" wrapText="1"/>
    </xf>
  </cellXfs>
  <cellStyles count="2">
    <cellStyle name="40% - Accent2" xfId="1" builtinId="35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topLeftCell="A9" workbookViewId="0">
      <selection activeCell="G9" sqref="G9"/>
    </sheetView>
  </sheetViews>
  <sheetFormatPr defaultRowHeight="15" x14ac:dyDescent="0.25"/>
  <cols>
    <col min="2" max="3" width="17.42578125" customWidth="1"/>
    <col min="4" max="4" width="26" customWidth="1"/>
    <col min="5" max="5" width="16" customWidth="1"/>
    <col min="6" max="6" width="28.7109375" customWidth="1"/>
  </cols>
  <sheetData>
    <row r="1" spans="1:6" ht="30" x14ac:dyDescent="0.25">
      <c r="A1" s="5"/>
      <c r="B1" s="1" t="s">
        <v>0</v>
      </c>
      <c r="C1" s="1" t="s">
        <v>1</v>
      </c>
      <c r="D1" s="1" t="s">
        <v>2</v>
      </c>
      <c r="E1" s="1" t="s">
        <v>3</v>
      </c>
      <c r="F1" s="2" t="s">
        <v>4</v>
      </c>
    </row>
    <row r="2" spans="1:6" ht="165" x14ac:dyDescent="0.25">
      <c r="A2" s="6">
        <v>1</v>
      </c>
      <c r="B2" s="3" t="s">
        <v>5</v>
      </c>
      <c r="C2" s="3" t="s">
        <v>6</v>
      </c>
      <c r="D2" s="3" t="s">
        <v>7</v>
      </c>
      <c r="E2" s="3" t="s">
        <v>8</v>
      </c>
      <c r="F2" s="4" t="s">
        <v>9</v>
      </c>
    </row>
    <row r="3" spans="1:6" ht="135" x14ac:dyDescent="0.25">
      <c r="A3" s="6">
        <f>A2+1</f>
        <v>2</v>
      </c>
      <c r="B3" s="3" t="s">
        <v>18</v>
      </c>
      <c r="C3" s="3" t="s">
        <v>10</v>
      </c>
      <c r="D3" s="3" t="s">
        <v>11</v>
      </c>
      <c r="E3" s="3" t="s">
        <v>12</v>
      </c>
      <c r="F3" s="4" t="s">
        <v>13</v>
      </c>
    </row>
    <row r="4" spans="1:6" ht="105" x14ac:dyDescent="0.25">
      <c r="A4" s="6">
        <f>A3+1</f>
        <v>3</v>
      </c>
      <c r="B4" s="3" t="s">
        <v>19</v>
      </c>
      <c r="C4" s="3" t="s">
        <v>14</v>
      </c>
      <c r="D4" s="3" t="s">
        <v>15</v>
      </c>
      <c r="E4" s="3" t="s">
        <v>16</v>
      </c>
      <c r="F4" s="4" t="s">
        <v>17</v>
      </c>
    </row>
    <row r="5" spans="1:6" ht="210" x14ac:dyDescent="0.25">
      <c r="A5" s="6">
        <f t="shared" ref="A5:A11" si="0">A4+1</f>
        <v>4</v>
      </c>
      <c r="B5" s="3" t="s">
        <v>29</v>
      </c>
      <c r="C5" s="7" t="s">
        <v>25</v>
      </c>
      <c r="D5" s="7" t="s">
        <v>26</v>
      </c>
      <c r="E5" s="7" t="s">
        <v>27</v>
      </c>
      <c r="F5" s="8" t="s">
        <v>28</v>
      </c>
    </row>
    <row r="6" spans="1:6" ht="135" x14ac:dyDescent="0.25">
      <c r="A6" s="6">
        <f t="shared" si="0"/>
        <v>5</v>
      </c>
      <c r="B6" s="7" t="s">
        <v>24</v>
      </c>
      <c r="C6" s="7" t="s">
        <v>20</v>
      </c>
      <c r="D6" s="7" t="s">
        <v>21</v>
      </c>
      <c r="E6" s="7" t="s">
        <v>22</v>
      </c>
      <c r="F6" s="8" t="s">
        <v>23</v>
      </c>
    </row>
    <row r="7" spans="1:6" ht="120" x14ac:dyDescent="0.25">
      <c r="A7" s="6">
        <f t="shared" si="0"/>
        <v>6</v>
      </c>
      <c r="B7" s="7" t="s">
        <v>34</v>
      </c>
      <c r="C7" s="7" t="s">
        <v>30</v>
      </c>
      <c r="D7" s="7" t="s">
        <v>31</v>
      </c>
      <c r="E7" s="7" t="s">
        <v>32</v>
      </c>
      <c r="F7" s="8" t="s">
        <v>33</v>
      </c>
    </row>
    <row r="8" spans="1:6" ht="180" x14ac:dyDescent="0.25">
      <c r="A8" s="6">
        <f t="shared" si="0"/>
        <v>7</v>
      </c>
      <c r="B8" s="7" t="s">
        <v>35</v>
      </c>
      <c r="C8" s="7" t="s">
        <v>36</v>
      </c>
      <c r="D8" s="7" t="s">
        <v>37</v>
      </c>
      <c r="E8" s="7" t="s">
        <v>38</v>
      </c>
      <c r="F8" s="8" t="s">
        <v>39</v>
      </c>
    </row>
    <row r="9" spans="1:6" ht="135" x14ac:dyDescent="0.25">
      <c r="A9" s="6">
        <f t="shared" si="0"/>
        <v>8</v>
      </c>
      <c r="B9" s="7" t="s">
        <v>40</v>
      </c>
      <c r="C9" s="7" t="s">
        <v>41</v>
      </c>
      <c r="D9" s="7" t="s">
        <v>42</v>
      </c>
      <c r="E9" s="7" t="s">
        <v>43</v>
      </c>
      <c r="F9" s="8" t="s">
        <v>44</v>
      </c>
    </row>
    <row r="10" spans="1:6" ht="135" x14ac:dyDescent="0.25">
      <c r="A10" s="6">
        <f t="shared" si="0"/>
        <v>9</v>
      </c>
      <c r="B10" s="7" t="s">
        <v>50</v>
      </c>
      <c r="C10" s="7" t="s">
        <v>41</v>
      </c>
      <c r="D10" s="7" t="s">
        <v>42</v>
      </c>
      <c r="E10" s="7" t="s">
        <v>51</v>
      </c>
      <c r="F10" s="8" t="s">
        <v>44</v>
      </c>
    </row>
    <row r="11" spans="1:6" ht="165.75" thickBot="1" x14ac:dyDescent="0.3">
      <c r="A11" s="6">
        <f t="shared" si="0"/>
        <v>10</v>
      </c>
      <c r="B11" s="9" t="s">
        <v>49</v>
      </c>
      <c r="C11" s="9" t="s">
        <v>45</v>
      </c>
      <c r="D11" s="9" t="s">
        <v>46</v>
      </c>
      <c r="E11" s="9" t="s">
        <v>47</v>
      </c>
      <c r="F11" s="10" t="s">
        <v>48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Raducu Stefan</dc:creator>
  <cp:lastModifiedBy>Răducu-Ștefan STANCIU (126851)</cp:lastModifiedBy>
  <dcterms:created xsi:type="dcterms:W3CDTF">2015-06-05T18:17:20Z</dcterms:created>
  <dcterms:modified xsi:type="dcterms:W3CDTF">2026-10-20T17:32:49Z</dcterms:modified>
</cp:coreProperties>
</file>